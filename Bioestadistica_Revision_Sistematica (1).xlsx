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istencia_spn" sheetId="1" r:id="rId4"/>
    <sheet state="visible" name="Terminos de Busqueda" sheetId="2" r:id="rId5"/>
    <sheet state="visible" name="Articulos Filtrados (Pubmed)" sheetId="3" r:id="rId6"/>
    <sheet state="visible" name="Revisión Sistematica" sheetId="4" r:id="rId7"/>
    <sheet state="visible" name="Meta-Analisi" sheetId="5" r:id="rId8"/>
    <sheet state="visible" name="Resistencia a Antibioticos" sheetId="6" r:id="rId9"/>
  </sheets>
  <definedNames/>
  <calcPr/>
  <extLst>
    <ext uri="GoogleSheetsCustomDataVersion2">
      <go:sheetsCustomData xmlns:go="http://customooxmlschemas.google.com/" r:id="rId10" roundtripDataChecksum="701T5Bi++aZH8IbBsO88bOUV2plkC1q983NthKN1vZI="/>
    </ext>
  </extLst>
</workbook>
</file>

<file path=xl/sharedStrings.xml><?xml version="1.0" encoding="utf-8"?>
<sst xmlns="http://schemas.openxmlformats.org/spreadsheetml/2006/main" count="378" uniqueCount="228">
  <si>
    <t>id</t>
  </si>
  <si>
    <t>Año</t>
  </si>
  <si>
    <t>n</t>
  </si>
  <si>
    <t>Penicilina</t>
  </si>
  <si>
    <t>Azitromicina</t>
  </si>
  <si>
    <t>Eritromicina</t>
  </si>
  <si>
    <t>Trimetoprim/Sulfametoxazol</t>
  </si>
  <si>
    <t>1993 - 1994</t>
  </si>
  <si>
    <t>3.30</t>
  </si>
  <si>
    <t>NA</t>
  </si>
  <si>
    <t>1.60</t>
  </si>
  <si>
    <t>36.00</t>
  </si>
  <si>
    <t>2000 - 2001</t>
  </si>
  <si>
    <t>34.20</t>
  </si>
  <si>
    <t>10.30</t>
  </si>
  <si>
    <t>58.20</t>
  </si>
  <si>
    <t>2002 - 2006</t>
  </si>
  <si>
    <t>57.50</t>
  </si>
  <si>
    <t>77.50</t>
  </si>
  <si>
    <t>2006 - 2008</t>
  </si>
  <si>
    <t>46.20</t>
  </si>
  <si>
    <t>2006 - 2009</t>
  </si>
  <si>
    <t>35.80</t>
  </si>
  <si>
    <t>2006 - 2019</t>
  </si>
  <si>
    <t>85.00</t>
  </si>
  <si>
    <t>2007 - 2009</t>
  </si>
  <si>
    <t>52.20</t>
  </si>
  <si>
    <t>28.50</t>
  </si>
  <si>
    <t>26.30</t>
  </si>
  <si>
    <t>2009 - 2011</t>
  </si>
  <si>
    <t>50.00</t>
  </si>
  <si>
    <t>30.80</t>
  </si>
  <si>
    <t>35.70</t>
  </si>
  <si>
    <t>69.00</t>
  </si>
  <si>
    <t>34.00</t>
  </si>
  <si>
    <t>22.40</t>
  </si>
  <si>
    <t>2016 - 2019</t>
  </si>
  <si>
    <t>31.20</t>
  </si>
  <si>
    <t>78.80</t>
  </si>
  <si>
    <t>2017 - 2020</t>
  </si>
  <si>
    <t>48.30</t>
  </si>
  <si>
    <t>2018 - 2019</t>
  </si>
  <si>
    <t>75.50</t>
  </si>
  <si>
    <t>2019 - 2020</t>
  </si>
  <si>
    <t>7.00</t>
  </si>
  <si>
    <t>58.70</t>
  </si>
  <si>
    <t>2020 - 2021</t>
  </si>
  <si>
    <t>0.39</t>
  </si>
  <si>
    <t>Main Term</t>
  </si>
  <si>
    <t>Terminos Homologos</t>
  </si>
  <si>
    <t>Español</t>
  </si>
  <si>
    <t>Ingles</t>
  </si>
  <si>
    <t>Streptococcus pneumoniae</t>
  </si>
  <si>
    <t>Streptococcus pneumoniae / "Neumococo"</t>
  </si>
  <si>
    <t>Streptococcus pneumoniae / "Pneumococcus"</t>
  </si>
  <si>
    <t>Multidrug resistance</t>
  </si>
  <si>
    <t>Multirresistencia / "Resistencia a múltiples antibióticos" / "Resistencia antimicrobiana" / RAM / MDR / "Resistencia bacteriana" / "Superbacterias"</t>
  </si>
  <si>
    <t>Multidrug resistance / MDR / AMR / "Antimicrobial resistance" / "Drug resistance, bacterial" / "Antibiotic resistance" / XDR / "Extensively drug-resistant"</t>
  </si>
  <si>
    <t>Antibiotics</t>
  </si>
  <si>
    <t>Antibióticos / "Tratamiento antibiótico" / "Terapia antibiótica" / "Agentes antimicrobianos" / "Antibacterianos" / "Macrólidos" / "Betalactámicos" / "Penicilinas" / "Cefalosporinas" / "Fluoroquinolonas" / "Tetraciclinas"</t>
  </si>
  <si>
    <t>Antibiotics / "Antimicrobials" / "Antibacterial agents" / "Antibiotic therapy" / "Beta-lactams" / "Penicillins" / "Cephalosporins" / "Macrolides" / "Fluoroquinolones" / "Tetracyclines"</t>
  </si>
  <si>
    <t>Resistance genes</t>
  </si>
  <si>
    <t>Genes de resistencia / ermB / mefA / tetM / pbp1a / pbp2x / pbp2b / "Mutaciones en genes pbp" / "Expresión génica resistente"</t>
  </si>
  <si>
    <t>Resistance genes / ermB / mefA / tetM / pbp1a / pbp2x / pbp2b / "Gene mutations" / "Resistant gene expression"</t>
  </si>
  <si>
    <t>Geographical location</t>
  </si>
  <si>
    <t>Perú / "Regiones del Perú" / "Departamentos del Perú" / "Amazonas" / "Áncash" / "Apurímac" / "Arequipa" / "Ayacucho" / "Cajamarca" / "Callao" / "Cusco" / "Huancavelica" / "Huánuco" / "Ica" / "Junín" / "La Libertad" / "Lambayeque" / "Lima" / "Loreto" / "Madre de Dios" / "Moquegua" / "Pasco" / "Piura" / "Puno" / "San Martín" / "Tacna" / "Tumbes" / "Ucayali"</t>
  </si>
  <si>
    <t>Peru / "Departments of Peru" / "Regions of Peru" / "Amazonas" / "Ancash" / "Apurimac" / "Arequipa" / "Ayacucho" / "Cajamarca" / "Callao" / "Cusco" / "Huancavelica" / "Huanuco" / "Ica" / "Junin" / "La Libertad" / "Lambayeque" / "Lima" / "Loreto" / "Madre de Dios" / "Moquegua" / "Pasco" / "Piura" / "Puno" / "San Martin" / "Tacna" / "Tumbes" / "Ucayali"</t>
  </si>
  <si>
    <t>Time trends</t>
  </si>
  <si>
    <t>Tendencias temporales / "A lo largo del tiempo" / "Cambios anuales" / "Evolución temporal" / "Comparación histórica" / "Datos longitudinales"</t>
  </si>
  <si>
    <t>Time trends / "Temporal analysis" / "Yearly variation" / "Longitudinal data" / "Temporal change"</t>
  </si>
  <si>
    <t>Infection type</t>
  </si>
  <si>
    <t>Infecciones respiratorias / "Neumonía" / "Meningitis" / "Otitis media" / "Sinusitis" / "Bacteriemia neumocócica"</t>
  </si>
  <si>
    <t>Respiratory infections / "Pneumonia" / "Bacterial meningitis" / "Otitis media" / "Sinusitis" / "Pneumococcal bacteremia"</t>
  </si>
  <si>
    <t>Population</t>
  </si>
  <si>
    <t>Niños / "Pediatría" / "Adultos mayores" / "Población vulnerable" / "Pacientes hospitalizados"</t>
  </si>
  <si>
    <t>Children / "Pediatrics" / "Elderly" / "Vulnerable population" / "Hospitalized patients"</t>
  </si>
  <si>
    <t>String (Google Scholar)</t>
  </si>
  <si>
    <t>("Streptococcus pneumoniae" OR neumococo) AND 
("resistencia antimicrobiana" OR "multirresistencia" OR "resistencia a múltiples antibióticos" OR MDR OR RAM) AND 
("antibióticos" OR "macrólidos" OR "betalactámicos" OR "penicilina" OR "cefalosporinas" OR "fluoroquinolonas" OR "tetraciclinas") AND 
("genes de resistencia" OR ermB OR mefA OR tetM OR pbp1a OR pbp2x OR pbp2b) AND 
("Perú" OR "Amazonas" OR "Áncash" OR "Apurímac" OR "Arequipa" OR "Ayacucho" OR "Cajamarca" OR "Callao" OR "Cusco" OR "Huancavelica" OR "Huánuco" OR "Ica" OR "Junín" OR "La Libertad" OR "Lambayeque" OR "Lima" OR "Loreto" OR "Madre de Dios" OR "Moquegua" OR "Pasco" OR "Piura" OR "Puno" OR "San Martín" OR "Tacna" OR "Tumbes" OR "Ucayali") AND 
("tendencias" OR "evolución temporal" OR "cambio a lo largo del tiempo" OR "comparación anual" OR "datos históricos")</t>
  </si>
  <si>
    <t>Id</t>
  </si>
  <si>
    <t>Nombre del Estudio</t>
  </si>
  <si>
    <t>Aceptado</t>
  </si>
  <si>
    <t>Prevalencia</t>
  </si>
  <si>
    <t>Año de Publicación</t>
  </si>
  <si>
    <t>01</t>
  </si>
  <si>
    <t>Pandemic Social Distancing and Declines in Nasopharyngeal Carriage of Pneumococcus and Related Antimicrobial-Resistant Genes: Evidence From Household-Based Cohort Studies in Lima, Peru</t>
  </si>
  <si>
    <t>Aprobado</t>
  </si>
  <si>
    <t>Dic 2019 - Mar 2020: 58,7% Macrolidos, 7% Lactamicos/Penicilina</t>
  </si>
  <si>
    <t xml:space="preserve">Cohortes: diciembre 2019 - febrero 2021 </t>
  </si>
  <si>
    <t>Nov 2020 - Feb 2021: 28,1% Macrolidos, 0,39% Lactamicos/Penicilina</t>
  </si>
  <si>
    <t>02</t>
  </si>
  <si>
    <t>Molecular Epidemiology of Streptococcus pneumoniae Serotype 1: A Systematic Review of Circulating Clones and Clonal Clusters</t>
  </si>
  <si>
    <t>Revisión Sistematica</t>
  </si>
  <si>
    <t>Revisar</t>
  </si>
  <si>
    <t>03</t>
  </si>
  <si>
    <t>The Crisis of Macrolide Resistance in Pneumococci in Latin America</t>
  </si>
  <si>
    <t>Duplicado</t>
  </si>
  <si>
    <t>04</t>
  </si>
  <si>
    <t>Streptococcus pneumoniae serotype 19A in hospitalized children with invasive pneumococcal disease after the introduction of conjugated vaccines in Lima, Peru</t>
  </si>
  <si>
    <t>Excluido</t>
  </si>
  <si>
    <t>05</t>
  </si>
  <si>
    <t>Pneumococcal carriage among 
young children attending daycare 
in Hungary, 12–13 years post
PCV13: a cross-sectional study</t>
  </si>
  <si>
    <t>No es Peruano</t>
  </si>
  <si>
    <t>06</t>
  </si>
  <si>
    <t>INVASIVE PNEUMOCOCCAL DISEASE IN 
PATIENTS FROM A PEDIATRIC HOSPITAL IN 
PERU, 2017-2020</t>
  </si>
  <si>
    <t>Ene 2017 – Dic 2020: 55.2% Macrólidos (16/29), 24.1% β-lactámicos/Penicilina (7/29), 48.3% TMP-SMX (14/29), 23.1% Tetraciclina (6/26), 10.7% Ceftriaxona (3/28), 3.5% Vancomicina (1/29), Multirresistencia 10.3% (3/29): casos con resistencia simultánea a penicilina, eritromicina y tetraciclina en serotipos 24F/ET y 6C.</t>
  </si>
  <si>
    <t>Ene 2017 – Dic 2020</t>
  </si>
  <si>
    <t>08</t>
  </si>
  <si>
    <t>Invasive pneumococcal disease in hospitalised
 children from Lima, Peru before and after
 introduction of the 7-valent conjugated vaccine</t>
  </si>
  <si>
    <t>May 2006 – June 2011: 24.8% Macrólidos (Eritromicina, 46/157), 46.2–50% β-lactámicos/Penicilina en cepas meníngeas (25/53), 3.1–4.8% Ceftriaxona en cepas no meníngeas (4/104), 11.9–10.9% Cloranfenicol (18/156), Multirresistencia estimada en 3 cepas (1.9%) con resistencia simultánea a penicilina, eritromicina y cloranfenicol, principalmente en serotipos 14, 19F y 6B.</t>
  </si>
  <si>
    <t>May 2006 – June 2011</t>
  </si>
  <si>
    <t>09</t>
  </si>
  <si>
    <t>Antibiotic resistance and distribution of serotypes of invasive pneumococcal strains isolated from hospitalized adults in Lima, Peru</t>
  </si>
  <si>
    <t>35.7% Macrólidos (Eritromicina, 15/42), 30.8% β-lactámicos/Penicilina en cepas meníngeas (4/13), 69.0% Trimetoprim/Sulfametoxazol (29/42), 31.0% Tetraciclina (13/42), 16.7% Clindamicina (7/42), 7.1% Cloranfenicol (3/42), Multirresistencia 23.8% (10/42) con combinaciones como TMP/SXT, Eritromicina, Clindamicina, Tetraciclina, Ceftriaxona, Penicilina en una cepa, y otras con cinco antibióticos simultáneos.</t>
  </si>
  <si>
    <t>Jun 2009 – Jun 2011</t>
  </si>
  <si>
    <t>10</t>
  </si>
  <si>
    <t>[Antibiotic resistance of streptococcus pneumoniae among healthy nasopharyngeal carriers in seven regions of Peru].</t>
  </si>
  <si>
    <t>11</t>
  </si>
  <si>
    <t>Susceptibility rates in Latin American nations: report from a regional resistance surveillance program (2011)</t>
  </si>
  <si>
    <t xml:space="preserve">Titulo </t>
  </si>
  <si>
    <t>n (#Muestras)</t>
  </si>
  <si>
    <t xml:space="preserve">Multiresistencia </t>
  </si>
  <si>
    <t>Resistencia a otros faramacos</t>
  </si>
  <si>
    <t xml:space="preserve">Provincia </t>
  </si>
  <si>
    <t>Hospital de Procedencia</t>
  </si>
  <si>
    <t xml:space="preserve">Tipo de muestra </t>
  </si>
  <si>
    <t xml:space="preserve">Metodo de identificacion </t>
  </si>
  <si>
    <t xml:space="preserve">Poblacion de estudio </t>
  </si>
  <si>
    <t>LINK</t>
  </si>
  <si>
    <t>PREVALENCIA Y RESISTENCIA
 DE NEUMOCOCOS EN UNA 
POBLACIÓN ESCOLAR 
APARENTEMENTE SANA</t>
  </si>
  <si>
    <t>25% de las cepas aisladas tuvieron
 una resistencia a 3 o más antimicrobianos.</t>
  </si>
  <si>
    <t>Cotrimoxazol  - 46%
penicilina - 36%.</t>
  </si>
  <si>
    <t>Lima</t>
  </si>
  <si>
    <t>colegio «Mariano Melgar» y «Yolanda Prieto Anicama»,</t>
  </si>
  <si>
    <t xml:space="preserve">Hisopado nasofaringeo </t>
  </si>
  <si>
    <t>Los hisopos fueron sembrados en placas 
de Agar Columbia sangre de carnero con 
gentamicina</t>
  </si>
  <si>
    <t>115 escolares cuyas edades estuvieron entre 
4 y 16 años y del sexo masculino fueron 
127 escolares cuyas edades estuvieron 
entre 5 y 16años,</t>
  </si>
  <si>
    <t>https://sisbib.unmsm.edu.pe/bvrevistas/rpm_trop/v09_n1/PDF/a07.pdf</t>
  </si>
  <si>
    <t>Streptococcus pneumoniae aislados
 durante 2002-2006: serotipos y 
resistencia antibiótica. Correlación 
con las vacunas existentes</t>
  </si>
  <si>
    <t>trimetoprim-sulfametoxazol  - 77,5%
seguido de la penicilina, con 57,5%</t>
  </si>
  <si>
    <t xml:space="preserve">Lima </t>
  </si>
  <si>
    <t xml:space="preserve">serotipificación, hisopado </t>
  </si>
  <si>
    <t>https://web.archive.org/web/20220119172319id_/http://www.scielo.org.pe/scielo.php?script=sci_arttext&amp;pid=S1025-55832008000100006&amp;lng=en&amp;nrm=iso&amp;tlng=en</t>
  </si>
  <si>
    <t>Características clave de aislamientos
 neumocócicos invasivos recuperados 
en Lima, Perú, determinadas mediante
 secuenciación del genoma completo</t>
  </si>
  <si>
    <t xml:space="preserve">2006 - 2009 </t>
  </si>
  <si>
    <t>34% fueron resistentes a múltiples fármacos</t>
  </si>
  <si>
    <t>74,1% - cotrimoxazol
 49,5%   β -lactámicos
(39,6%) eran resistentes a la tetraciclina 
76 (35,8%) resistentes a la eritromicina</t>
  </si>
  <si>
    <t>Extraccion de ADN (Revisar)</t>
  </si>
  <si>
    <t xml:space="preserve">Secuenciamos completa del genoma </t>
  </si>
  <si>
    <t>niños y adultos en 16 hospitales</t>
  </si>
  <si>
    <t>https://www.sciencedirect.com/science/article/pii/S143842211730190X?via%3Dihub</t>
  </si>
  <si>
    <t>Resistencia a antibióticos de Streptococcus pneumoniae entre portadores nasofaríngeos sanos en siete regiones del Perú</t>
  </si>
  <si>
    <t xml:space="preserve">2007 - 2009 </t>
  </si>
  <si>
    <t>Multirresistencia 29.5%</t>
  </si>
  <si>
    <t xml:space="preserve"> Arequipa - 63.6 % 
Cusco : 23.4%
cotrimoxazol (58%),
 penicilina (52,2% no sensibles);
 tetraciclina (29,1%);
 azitromicina (28,9%) 
 eritromicina (26,3%)
Cloranfenicol  ( 8.8%) </t>
  </si>
  <si>
    <t xml:space="preserve">Lima y regiones </t>
  </si>
  <si>
    <t>hisopado nasofaríngeo</t>
  </si>
  <si>
    <t xml:space="preserve">serotipado </t>
  </si>
  <si>
    <t>https://pubmed.ncbi.nlm.nih.gov/24448932/</t>
  </si>
  <si>
    <t>Mecanismos de resistencia a penicilina 
en cepas clínicas de Streptococcus 
pneumoniae</t>
  </si>
  <si>
    <t xml:space="preserve">2016 - 2019 </t>
  </si>
  <si>
    <t xml:space="preserve">81,2% de las cepas no meningíticas- penicilina
31,2% de las cepas meningíticas
18,8% de las cepas meningíticas - ceftriaxona .
78,8 %  azitromicina </t>
  </si>
  <si>
    <t>niños portadores sanos &lt; 2 años de edad</t>
  </si>
  <si>
    <t>https://pubmed.ncbi.nlm.nih.gov/35615398/</t>
  </si>
  <si>
    <t>Aumento de la resistencia a macrólidos en cepas de Streptococcus pneumoniae tras la introducción de la vacuna antineumocócica conjugada 13-valente en Lima, Perú</t>
  </si>
  <si>
    <t xml:space="preserve">2006 - 2019 </t>
  </si>
  <si>
    <t>80–90% (azitromicina 19A) - macrolidos</t>
  </si>
  <si>
    <t>Enfermedad neumocócica invasiva en niños hospitalizados de Lima, Perú, antes y después de la introducción de la vacuna conjugada heptavalente</t>
  </si>
  <si>
    <t>2006 - 2011</t>
  </si>
  <si>
    <t>son resistentes a penicilina 
46.2% en el período 2006-2008
 50% en 2009-2011</t>
  </si>
  <si>
    <t>sangre, líquido cefalorraquídeo</t>
  </si>
  <si>
    <t>serotipificacion</t>
  </si>
  <si>
    <t xml:space="preserve">niños </t>
  </si>
  <si>
    <t>https://pubmed.ncbi.nlm.nih.gov/30869013/</t>
  </si>
  <si>
    <t>RESISTENCIA ANTIBIÓTICA Y 
DISTRIBUCIÓN DE SEROTIPOS EN 
CEPAS NEUMOCÓCICAS INVASIVAS
 EN ADULTOS HOSPITALIZADOS EN 
LIMA, PERÚ</t>
  </si>
  <si>
    <t>El 23,8%  fueron cepas multirresistentes</t>
  </si>
  <si>
    <t xml:space="preserve"> trimetoprim/sulfametoxazol   69%   y   eritromicina 
 35,7%  .  El  30,8%    de  las  cepas  MEC  fueron  
resistentes  a  penicilina  y  16,7%   de  estas  
tuvieron  resistencia  intermedia  a  ceftriaxona.</t>
  </si>
  <si>
    <t xml:space="preserve">cultivo de líquidos normalmente 
estériles, como sangre, líquido 
cefalorraquídeo (LCR) </t>
  </si>
  <si>
    <t>serotipificacion , prueba de reacción de 
Quellung en el Laboratorio de
 Neumococos del CDC en Atlanta, EE.UU.</t>
  </si>
  <si>
    <t>más de 60 años</t>
  </si>
  <si>
    <t>https://rpmesp.ins.gob.pe/index.php/rpmesp/article/view/2884/2882</t>
  </si>
  <si>
    <t>https://pubmed.ncbi.nlm.nih.gov/29364418/</t>
  </si>
  <si>
    <t>Densidad bacteriana, distribución de serotipos y resistencia a antibióticos de cepas neumocócicas de la nasofaringe de niños peruanos antes y después de la vacuna antineumocócica conjugada 7</t>
  </si>
  <si>
    <t>multiresistencia
en 2009, sería el 21%, 
 en 2011, sería el 22%.</t>
  </si>
  <si>
    <t>PCV7 disminuyó del 48% en 2009 al 28,8% en 2011
 La resistencia a los antibióticos no cambió después 
de la introducción de la vacuna; las cepas no fueron 
sensibles a la tetraciclina (97,2%), 
trimetoprima-sulfametoxazol (56,4%), 
penicilina (34%), eritromicina (22,4%), 
cloranfenicol (18,8%) y clindamicina (12,4%).</t>
  </si>
  <si>
    <t xml:space="preserve">Cajamarca </t>
  </si>
  <si>
    <t>erotipificadas mediante la reacción de Quellung</t>
  </si>
  <si>
    <t>niños de 2 años</t>
  </si>
  <si>
    <t>https://pubmed.ncbi.nlm.nih.gov/26974749/</t>
  </si>
  <si>
    <t>Serotipos neumocócicos y resistencia a antibióticos en niños portadores sanos tras la introducción de PCV13 en Lima, Perú</t>
  </si>
  <si>
    <t>2018- 2019</t>
  </si>
  <si>
    <t>La resistencia a la penicilina fue del 75,5 %, 
a TMP/SMX del 75,5 % y a la azitromicina 
del 50,0 %</t>
  </si>
  <si>
    <t>https://pubmed.ncbi.nlm.nih.gov/37270366/</t>
  </si>
  <si>
    <t>2019 - 2021</t>
  </si>
  <si>
    <t>x</t>
  </si>
  <si>
    <t>Lima, Perú</t>
  </si>
  <si>
    <t>cohortes domiciliarias del distrito San Juan de Lurigancho, Lima, Perú.</t>
  </si>
  <si>
    <t>Multirresistencia 10.3% (3/29): casos con resistencia simultánea a penicilina, eritromicina y tetraciclina en serotipos 24F/ET y 6C.</t>
  </si>
  <si>
    <t xml:space="preserve">Ene 2017 – Dic 2020: 55.2% Macrólidos (16/29), 24.1% β-lactámicos/Penicilina (7/29), 48.3% TMP-SMX (14/29), 23.1% Tetraciclina (6/26), 10.7% Ceftriaxona (3/28), 3.5% Vancomicina (1/29), </t>
  </si>
  <si>
    <t>Instituto Nacional de Salud del Niño-Breña</t>
  </si>
  <si>
    <t>Sangre: 24 cepas (82.8% de los pacientes)
Líquido cefalorraquídeo (LCR)</t>
  </si>
  <si>
    <t>Invasive pneumococcal disease in hospitalised children from Lima, Peru before and after introduction of the 7-valent conjugated vaccine</t>
  </si>
  <si>
    <t>Multirresistencia estimada en 3 cepas (1.9%) con resistencia simultánea a penicilina, eritromicina y cloranfenicol, principalmente en serotipos 14, 19F y 6B.</t>
  </si>
  <si>
    <t xml:space="preserve">May 2006 – June 2011: 24.8% Macrólidos (Eritromicina, 46/157), 46.2–50% β-lactámicos/Penicilina en cepas meníngeas (25/53), 3.1–4.8% Ceftriaxona en cepas no meníngeas (4/104), 11.9–10.9% Cloranfenicol (18/156), </t>
  </si>
  <si>
    <t>Instituto Nacional de Salud del Niño (INSN) – Breña
Hospital Nacional Cayetano Heredia
Hospital de Emergencias Pediátricas
Hospital Edgardo Rebagliati Martins
Hospital Nacional Dos de Mayo
Hospital Santa Rosa
Hospital Daniel A. Carrión
Hospital María Auxiliadora
Hospital Nacional Arzobispo Loayza
Hospital Nacional Docente Madre Niño San Bartolomé
Hospital San Juan de Lurigancho
Laboratorio Synlab (anteriormente PAHO Lab)
Laboratorio Farvet
Laboratorio Suiza Lab
Laboratorio Multilab</t>
  </si>
  <si>
    <t>Sangre
Líquido cefalorraquídeo (LCR)
Líquido pleural
Líquido articular o peritoneal</t>
  </si>
  <si>
    <t>niños menores de 18 años</t>
  </si>
  <si>
    <t>Multirresistencia 23.8% (10/42) con combinaciones como TMP/SXT, Eritromicina, Clindamicina, Tetraciclina, Ceftriaxona, Penicilina en una cepa, y otras con cinco antibióticos simultáneos.</t>
  </si>
  <si>
    <t xml:space="preserve">35.7% Macrólidos (Eritromicina, 15/42), 30.8% β-lactámicos/Penicilina en cepas meníngeas (4/13), 69.0% Trimetoprim/Sulfametoxazol (29/42), 31.0% Tetraciclina (13/42), 16.7% Clindamicina (7/42), 7.1% Cloranfenicol (3/42), </t>
  </si>
  <si>
    <t>Cinco hospitales nacionales:
Hospital Nacional Cayetano Heredia
Hospital Nacional Daniel Alcides Carrión
Hospital Nacional Edgardo Rebagliati Martins
Hospital Nacional Alberto Sabogal
Hospital Nacional Dos de Mayo
Dos laboratorios privados:
Laboratorio Roe
Laboratorio Med Lab</t>
  </si>
  <si>
    <t>Sangre
Líquido cefalorraquídeo (LCR)
Líquido pleural
Líquido peritoneal
Líquido articular
Lavado bronquioloalveolar</t>
  </si>
  <si>
    <t>Streptococcus pneumoniae resistentes a Penicilina en Lima – Perú.</t>
  </si>
  <si>
    <t>Nov 1993–1994</t>
  </si>
  <si>
    <t>Multirresistencia (≥2 familias): 1.6%</t>
  </si>
  <si>
    <t xml:space="preserve">Penicilina: 3.3% (intermedia, no hubo alta resistencia)
Ampicilina: 6.6%
Trimethoprim/Sulfametoxazol: 1.6%
Cloranfenicol: 1.6%
Cefotaxime: 0%
</t>
  </si>
  <si>
    <t>Antimicrobial Susceptibilities and Serotype Distribution of Streptococcus pneumoniae Isolates from a Low Socioeconomic Area in Lima, Peru</t>
  </si>
  <si>
    <t>junio de 2000 y enero de 2001</t>
  </si>
  <si>
    <t>Multirresistencia: 27.4% (14.4% a dos familias, 8.2% a tres, 4.8% a cuatro)</t>
  </si>
  <si>
    <t xml:space="preserve">Penicilina: 34.2% Cloranfenicol: 10.3% Eritromicina: 8.2% Trimethoprim/Sulfametoxazol: 58.2% </t>
  </si>
  <si>
    <t>Pneumococcal carriage among young children attending daycare in Hungary, 12–13 years post PCV13: a cross-sectional study</t>
  </si>
  <si>
    <t>https://www.nature.com/articles/s41598-025-07777-x</t>
  </si>
  <si>
    <t>n (#Muestra)</t>
  </si>
  <si>
    <t>cultivo de líquidos normalmente estériles</t>
  </si>
  <si>
    <t xml:space="preserve">Penicilina </t>
  </si>
  <si>
    <t xml:space="preserve">Cotrimaxol </t>
  </si>
  <si>
    <t xml:space="preserve">son resistentes a penicilina 
46.2% en el período 2006-2008
</t>
  </si>
  <si>
    <t>46.2%</t>
  </si>
  <si>
    <t xml:space="preserve"> resistencia a la pencilina 50% en 2009-2011</t>
  </si>
  <si>
    <t>2009-2011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</si>
</sst>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1">
    <font>
      <sz val="10.0"/>
      <color rgb="FF000000"/>
      <name val="Arial"/>
      <scheme val="minor"/>
    </font>
    <font>
      <color theme="1"/>
      <name val="Arial"/>
    </font>
    <font>
      <b/>
      <color theme="1"/>
      <name val="Arial"/>
    </font>
    <font>
      <color theme="1"/>
      <name val="Arial"/>
      <scheme val="minor"/>
    </font>
    <font>
      <u/>
      <color rgb="FF0000FF"/>
    </font>
    <font>
      <sz val="10.0"/>
      <color rgb="FF000000"/>
      <name val="Arial"/>
    </font>
    <font>
      <sz val="10.0"/>
      <color rgb="FF1F1F1F"/>
      <name val="Arial"/>
    </font>
    <font>
      <color rgb="FF212121"/>
      <name val="Arial"/>
    </font>
    <font>
      <color rgb="FF212121"/>
      <name val="Merriweather"/>
    </font>
    <font>
      <sz val="10.0"/>
      <color theme="1"/>
      <name val="Arial"/>
    </font>
    <font>
      <b/>
      <sz val="14.0"/>
      <color rgb="FF000000"/>
      <name val="Verdana"/>
    </font>
  </fonts>
  <fills count="7">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FF0000"/>
        <bgColor rgb="FFFF0000"/>
      </patternFill>
    </fill>
    <fill>
      <patternFill patternType="solid">
        <fgColor rgb="FFF3F3F3"/>
        <bgColor rgb="FFF3F3F3"/>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0" fontId="1" numFmtId="0" xfId="0" applyAlignment="1" applyBorder="1" applyFont="1">
      <alignment horizontal="center" vertical="bottom"/>
    </xf>
    <xf borderId="2" fillId="0" fontId="2" numFmtId="0" xfId="0" applyAlignment="1" applyBorder="1" applyFont="1">
      <alignment horizontal="center"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4" fillId="2" fontId="1" numFmtId="0" xfId="0" applyAlignment="1" applyBorder="1" applyFill="1" applyFont="1">
      <alignment horizontal="center" vertical="bottom"/>
    </xf>
    <xf borderId="5" fillId="2" fontId="1" numFmtId="0" xfId="0" applyAlignment="1" applyBorder="1" applyFont="1">
      <alignment horizontal="center" vertical="bottom"/>
    </xf>
    <xf borderId="5" fillId="2" fontId="1" numFmtId="164" xfId="0" applyAlignment="1" applyBorder="1" applyFont="1" applyNumberFormat="1">
      <alignment horizontal="center" vertical="bottom"/>
    </xf>
    <xf borderId="0" fillId="0" fontId="2" numFmtId="0" xfId="0" applyAlignment="1" applyFont="1">
      <alignment horizontal="center" vertical="center"/>
    </xf>
    <xf borderId="0" fillId="0" fontId="2" numFmtId="0" xfId="0" applyAlignment="1" applyFont="1">
      <alignment horizontal="center"/>
    </xf>
    <xf borderId="0" fillId="0" fontId="1" numFmtId="0" xfId="0" applyAlignment="1" applyFont="1">
      <alignment shrinkToFit="0" wrapText="1"/>
    </xf>
    <xf borderId="0" fillId="0" fontId="1" numFmtId="0" xfId="0" applyAlignment="1" applyFont="1">
      <alignment shrinkToFit="0" vertical="center" wrapText="1"/>
    </xf>
    <xf borderId="0" fillId="0" fontId="1" numFmtId="0" xfId="0" applyFont="1"/>
    <xf borderId="0" fillId="0" fontId="2" numFmtId="0" xfId="0" applyFont="1"/>
    <xf borderId="0" fillId="0" fontId="1" numFmtId="49" xfId="0" applyFont="1" applyNumberFormat="1"/>
    <xf borderId="0" fillId="0" fontId="1" numFmtId="0" xfId="0" applyAlignment="1" applyFont="1">
      <alignment shrinkToFit="0" wrapText="0"/>
    </xf>
    <xf borderId="0" fillId="0" fontId="3" numFmtId="0" xfId="0" applyFont="1"/>
    <xf borderId="0" fillId="3" fontId="1" numFmtId="0" xfId="0" applyFill="1" applyFont="1"/>
    <xf borderId="0" fillId="0" fontId="4" numFmtId="0" xfId="0" applyFont="1"/>
    <xf borderId="0" fillId="2" fontId="1" numFmtId="0" xfId="0" applyFont="1"/>
    <xf borderId="0" fillId="2" fontId="5" numFmtId="0" xfId="0" applyFont="1"/>
    <xf borderId="0" fillId="0" fontId="6" numFmtId="0" xfId="0" applyAlignment="1" applyFont="1">
      <alignment vertical="bottom"/>
    </xf>
    <xf borderId="0" fillId="2" fontId="7" numFmtId="0" xfId="0" applyAlignment="1" applyFont="1">
      <alignment shrinkToFit="0" vertical="bottom" wrapText="1"/>
    </xf>
    <xf borderId="0" fillId="4" fontId="2" numFmtId="0" xfId="0" applyFill="1" applyFont="1"/>
    <xf borderId="0" fillId="2" fontId="8" numFmtId="0" xfId="0" applyAlignment="1" applyFont="1">
      <alignment shrinkToFit="0" vertical="bottom" wrapText="1"/>
    </xf>
    <xf borderId="0" fillId="2" fontId="9" numFmtId="0" xfId="0" applyFont="1"/>
    <xf borderId="0" fillId="0" fontId="1" numFmtId="0" xfId="0" applyAlignment="1" applyFont="1">
      <alignment shrinkToFit="0" vertical="bottom" wrapText="1"/>
    </xf>
    <xf borderId="0" fillId="5" fontId="1" numFmtId="0" xfId="0" applyFill="1" applyFont="1"/>
    <xf borderId="0" fillId="2" fontId="10" numFmtId="0" xfId="0" applyAlignment="1" applyFont="1">
      <alignment horizontal="left"/>
    </xf>
    <xf borderId="0" fillId="0" fontId="2" numFmtId="0" xfId="0" applyAlignment="1" applyFont="1">
      <alignment horizontal="right"/>
    </xf>
    <xf borderId="0" fillId="0" fontId="1" numFmtId="10" xfId="0" applyFont="1" applyNumberFormat="1"/>
    <xf borderId="0" fillId="0" fontId="2" numFmtId="0" xfId="0" applyAlignment="1" applyFont="1">
      <alignment shrinkToFit="0" vertical="center" wrapText="1"/>
    </xf>
    <xf borderId="0" fillId="0" fontId="1" numFmtId="0" xfId="0" applyAlignment="1" applyFont="1">
      <alignment horizontal="center" vertical="center"/>
    </xf>
    <xf borderId="0" fillId="0" fontId="1" numFmtId="0" xfId="0" applyAlignment="1" applyFont="1">
      <alignment horizontal="left" vertical="center"/>
    </xf>
    <xf borderId="0" fillId="0" fontId="1" numFmtId="9" xfId="0" applyAlignment="1" applyFont="1" applyNumberFormat="1">
      <alignment horizontal="center" vertical="center"/>
    </xf>
    <xf borderId="0" fillId="0" fontId="1" numFmtId="10" xfId="0" applyAlignment="1" applyFont="1" applyNumberFormat="1">
      <alignment horizontal="center" vertical="center"/>
    </xf>
    <xf borderId="0" fillId="0" fontId="1" numFmtId="0" xfId="0" applyAlignment="1" applyFont="1">
      <alignment horizontal="right" vertical="bottom"/>
    </xf>
    <xf borderId="0" fillId="6" fontId="1" numFmtId="0" xfId="0" applyAlignment="1" applyFill="1" applyFont="1">
      <alignment horizontal="center" vertical="center"/>
    </xf>
    <xf borderId="0" fillId="6" fontId="1" numFmtId="0" xfId="0" applyAlignment="1" applyFont="1">
      <alignment horizontal="left" vertical="center"/>
    </xf>
    <xf borderId="0" fillId="6" fontId="1" numFmtId="9" xfId="0" applyAlignment="1" applyFont="1" applyNumberFormat="1">
      <alignment horizontal="center" vertical="center"/>
    </xf>
    <xf borderId="0" fillId="6" fontId="1" numFmtId="0" xfId="0" applyFont="1"/>
    <xf borderId="0" fillId="0" fontId="1" numFmtId="0" xfId="0" applyAlignment="1" applyFont="1">
      <alignment vertical="bottom"/>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pubmed.ncbi.nlm.nih.gov/37270366/" TargetMode="External"/><Relationship Id="rId10" Type="http://schemas.openxmlformats.org/officeDocument/2006/relationships/hyperlink" Target="https://pubmed.ncbi.nlm.nih.gov/26974749/" TargetMode="External"/><Relationship Id="rId13" Type="http://schemas.openxmlformats.org/officeDocument/2006/relationships/drawing" Target="../drawings/drawing4.xml"/><Relationship Id="rId12" Type="http://schemas.openxmlformats.org/officeDocument/2006/relationships/hyperlink" Target="https://www.nature.com/articles/s41598-025-07777-x" TargetMode="External"/><Relationship Id="rId1" Type="http://schemas.openxmlformats.org/officeDocument/2006/relationships/hyperlink" Target="https://sisbib.unmsm.edu.pe/bvrevistas/rpm_trop/v09_n1/PDF/a07.pdf" TargetMode="External"/><Relationship Id="rId2" Type="http://schemas.openxmlformats.org/officeDocument/2006/relationships/hyperlink" Target="https://web.archive.org/web/20220119172319id_/http://www.scielo.org.pe/scielo.php?script=sci_arttext&amp;pid=S1025-55832008000100006&amp;lng=en&amp;nrm=iso&amp;tlng=en" TargetMode="External"/><Relationship Id="rId3" Type="http://schemas.openxmlformats.org/officeDocument/2006/relationships/hyperlink" Target="https://www.sciencedirect.com/science/article/pii/S143842211730190X?via%3Dihub" TargetMode="External"/><Relationship Id="rId4" Type="http://schemas.openxmlformats.org/officeDocument/2006/relationships/hyperlink" Target="https://pubmed.ncbi.nlm.nih.gov/24448932/" TargetMode="External"/><Relationship Id="rId9" Type="http://schemas.openxmlformats.org/officeDocument/2006/relationships/hyperlink" Target="https://pubmed.ncbi.nlm.nih.gov/29364418/" TargetMode="External"/><Relationship Id="rId5" Type="http://schemas.openxmlformats.org/officeDocument/2006/relationships/hyperlink" Target="https://pubmed.ncbi.nlm.nih.gov/35615398/" TargetMode="External"/><Relationship Id="rId6" Type="http://schemas.openxmlformats.org/officeDocument/2006/relationships/hyperlink" Target="https://pubmed.ncbi.nlm.nih.gov/35615398/" TargetMode="External"/><Relationship Id="rId7" Type="http://schemas.openxmlformats.org/officeDocument/2006/relationships/hyperlink" Target="https://pubmed.ncbi.nlm.nih.gov/30869013/" TargetMode="External"/><Relationship Id="rId8" Type="http://schemas.openxmlformats.org/officeDocument/2006/relationships/hyperlink" Target="https://rpmesp.ins.gob.pe/index.php/rpmesp/article/view/2884/2882"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7" max="7" width="13.63"/>
  </cols>
  <sheetData>
    <row r="1" ht="15.75" customHeight="1">
      <c r="A1" s="1" t="s">
        <v>0</v>
      </c>
      <c r="B1" s="2" t="s">
        <v>1</v>
      </c>
      <c r="C1" s="3" t="s">
        <v>2</v>
      </c>
      <c r="D1" s="3" t="s">
        <v>3</v>
      </c>
      <c r="E1" s="3" t="s">
        <v>4</v>
      </c>
      <c r="F1" s="3" t="s">
        <v>5</v>
      </c>
      <c r="G1" s="4" t="s">
        <v>6</v>
      </c>
    </row>
    <row r="2" ht="15.75" customHeight="1">
      <c r="A2" s="5">
        <v>13.0</v>
      </c>
      <c r="B2" s="6" t="s">
        <v>7</v>
      </c>
      <c r="C2" s="6">
        <v>128.0</v>
      </c>
      <c r="D2" s="6" t="s">
        <v>8</v>
      </c>
      <c r="E2" s="6" t="s">
        <v>9</v>
      </c>
      <c r="F2" s="6" t="s">
        <v>9</v>
      </c>
      <c r="G2" s="6" t="s">
        <v>10</v>
      </c>
    </row>
    <row r="3" ht="15.75" customHeight="1">
      <c r="A3" s="5">
        <v>1.0</v>
      </c>
      <c r="B3" s="6">
        <v>2000.0</v>
      </c>
      <c r="C3" s="6">
        <v>115.0</v>
      </c>
      <c r="D3" s="6" t="s">
        <v>11</v>
      </c>
      <c r="E3" s="6" t="s">
        <v>9</v>
      </c>
      <c r="F3" s="6" t="s">
        <v>9</v>
      </c>
      <c r="G3" s="6" t="s">
        <v>9</v>
      </c>
    </row>
    <row r="4" ht="15.75" customHeight="1">
      <c r="A4" s="5">
        <v>14.0</v>
      </c>
      <c r="B4" s="6" t="s">
        <v>12</v>
      </c>
      <c r="C4" s="6">
        <v>146.0</v>
      </c>
      <c r="D4" s="6" t="s">
        <v>13</v>
      </c>
      <c r="E4" s="6" t="s">
        <v>9</v>
      </c>
      <c r="F4" s="6" t="s">
        <v>14</v>
      </c>
      <c r="G4" s="6" t="s">
        <v>15</v>
      </c>
    </row>
    <row r="5" ht="15.75" customHeight="1">
      <c r="A5" s="5">
        <v>2.0</v>
      </c>
      <c r="B5" s="6" t="s">
        <v>16</v>
      </c>
      <c r="C5" s="6">
        <v>40.0</v>
      </c>
      <c r="D5" s="6" t="s">
        <v>17</v>
      </c>
      <c r="E5" s="6" t="s">
        <v>9</v>
      </c>
      <c r="F5" s="6" t="s">
        <v>9</v>
      </c>
      <c r="G5" s="6" t="s">
        <v>18</v>
      </c>
    </row>
    <row r="6" ht="15.75" customHeight="1">
      <c r="A6" s="5">
        <v>7.0</v>
      </c>
      <c r="B6" s="6" t="s">
        <v>19</v>
      </c>
      <c r="C6" s="6">
        <v>159.0</v>
      </c>
      <c r="D6" s="6" t="s">
        <v>20</v>
      </c>
      <c r="E6" s="6" t="s">
        <v>9</v>
      </c>
      <c r="F6" s="6" t="s">
        <v>9</v>
      </c>
      <c r="G6" s="6" t="s">
        <v>9</v>
      </c>
    </row>
    <row r="7" ht="15.75" customHeight="1">
      <c r="A7" s="5">
        <v>3.0</v>
      </c>
      <c r="B7" s="6" t="s">
        <v>21</v>
      </c>
      <c r="C7" s="6">
        <v>212.0</v>
      </c>
      <c r="D7" s="6" t="s">
        <v>9</v>
      </c>
      <c r="E7" s="6" t="s">
        <v>9</v>
      </c>
      <c r="F7" s="6" t="s">
        <v>22</v>
      </c>
      <c r="G7" s="6" t="s">
        <v>9</v>
      </c>
    </row>
    <row r="8" ht="15.75" customHeight="1">
      <c r="A8" s="5">
        <v>6.0</v>
      </c>
      <c r="B8" s="6" t="s">
        <v>23</v>
      </c>
      <c r="C8" s="6">
        <v>763.0</v>
      </c>
      <c r="D8" s="6" t="s">
        <v>9</v>
      </c>
      <c r="E8" s="6" t="s">
        <v>24</v>
      </c>
      <c r="F8" s="6" t="s">
        <v>9</v>
      </c>
      <c r="G8" s="6" t="s">
        <v>9</v>
      </c>
    </row>
    <row r="9" ht="15.75" customHeight="1">
      <c r="A9" s="5">
        <v>4.0</v>
      </c>
      <c r="B9" s="6" t="s">
        <v>25</v>
      </c>
      <c r="C9" s="6">
        <v>572.0</v>
      </c>
      <c r="D9" s="6" t="s">
        <v>26</v>
      </c>
      <c r="E9" s="6" t="s">
        <v>27</v>
      </c>
      <c r="F9" s="6" t="s">
        <v>28</v>
      </c>
      <c r="G9" s="6" t="s">
        <v>9</v>
      </c>
    </row>
    <row r="10" ht="15.75" customHeight="1">
      <c r="A10" s="5">
        <v>7.0</v>
      </c>
      <c r="B10" s="6" t="s">
        <v>29</v>
      </c>
      <c r="C10" s="6">
        <v>159.0</v>
      </c>
      <c r="D10" s="6" t="s">
        <v>30</v>
      </c>
      <c r="E10" s="6" t="s">
        <v>9</v>
      </c>
      <c r="F10" s="6" t="s">
        <v>9</v>
      </c>
      <c r="G10" s="6" t="s">
        <v>9</v>
      </c>
    </row>
    <row r="11" ht="15.75" customHeight="1">
      <c r="A11" s="5">
        <v>8.0</v>
      </c>
      <c r="B11" s="6" t="s">
        <v>29</v>
      </c>
      <c r="C11" s="6">
        <v>43.0</v>
      </c>
      <c r="D11" s="6" t="s">
        <v>31</v>
      </c>
      <c r="E11" s="6" t="s">
        <v>9</v>
      </c>
      <c r="F11" s="6" t="s">
        <v>32</v>
      </c>
      <c r="G11" s="6" t="s">
        <v>33</v>
      </c>
    </row>
    <row r="12" ht="15.75" customHeight="1">
      <c r="A12" s="5">
        <v>9.0</v>
      </c>
      <c r="B12" s="6" t="s">
        <v>29</v>
      </c>
      <c r="C12" s="6">
        <v>125.0</v>
      </c>
      <c r="D12" s="6" t="s">
        <v>34</v>
      </c>
      <c r="E12" s="6" t="s">
        <v>9</v>
      </c>
      <c r="F12" s="6" t="s">
        <v>35</v>
      </c>
      <c r="G12" s="6" t="s">
        <v>9</v>
      </c>
    </row>
    <row r="13" ht="15.75" customHeight="1">
      <c r="A13" s="5">
        <v>5.0</v>
      </c>
      <c r="B13" s="6" t="s">
        <v>36</v>
      </c>
      <c r="C13" s="6">
        <v>85.0</v>
      </c>
      <c r="D13" s="6" t="s">
        <v>37</v>
      </c>
      <c r="E13" s="6" t="s">
        <v>38</v>
      </c>
      <c r="F13" s="6" t="s">
        <v>9</v>
      </c>
      <c r="G13" s="6" t="s">
        <v>9</v>
      </c>
    </row>
    <row r="14" ht="15.75" customHeight="1">
      <c r="A14" s="5">
        <v>12.0</v>
      </c>
      <c r="B14" s="6" t="s">
        <v>39</v>
      </c>
      <c r="C14" s="6">
        <v>29.0</v>
      </c>
      <c r="D14" s="7">
        <v>45954.0</v>
      </c>
      <c r="E14" s="7">
        <v>45954.0</v>
      </c>
      <c r="F14" s="7">
        <v>45954.0</v>
      </c>
      <c r="G14" s="6" t="s">
        <v>40</v>
      </c>
    </row>
    <row r="15" ht="15.75" customHeight="1">
      <c r="A15" s="5">
        <v>10.0</v>
      </c>
      <c r="B15" s="6" t="s">
        <v>41</v>
      </c>
      <c r="C15" s="6">
        <v>1000.0</v>
      </c>
      <c r="D15" s="6" t="s">
        <v>42</v>
      </c>
      <c r="E15" s="6" t="s">
        <v>30</v>
      </c>
      <c r="F15" s="6" t="s">
        <v>9</v>
      </c>
      <c r="G15" s="6" t="s">
        <v>42</v>
      </c>
    </row>
    <row r="16" ht="15.75" customHeight="1">
      <c r="A16" s="5">
        <v>11.0</v>
      </c>
      <c r="B16" s="6" t="s">
        <v>43</v>
      </c>
      <c r="C16" s="6">
        <v>407.0</v>
      </c>
      <c r="D16" s="6" t="s">
        <v>44</v>
      </c>
      <c r="E16" s="6" t="s">
        <v>45</v>
      </c>
      <c r="F16" s="6" t="s">
        <v>45</v>
      </c>
      <c r="G16" s="6" t="s">
        <v>9</v>
      </c>
    </row>
    <row r="17" ht="15.75" customHeight="1">
      <c r="A17" s="5">
        <v>11.0</v>
      </c>
      <c r="B17" s="6" t="s">
        <v>46</v>
      </c>
      <c r="C17" s="6">
        <v>256.0</v>
      </c>
      <c r="D17" s="6" t="s">
        <v>47</v>
      </c>
      <c r="E17" s="7">
        <v>45958.0</v>
      </c>
      <c r="F17" s="7">
        <v>45958.0</v>
      </c>
      <c r="G17" s="6" t="s">
        <v>9</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8"/>
    <col customWidth="1" min="2" max="2" width="16.75"/>
    <col customWidth="1" min="3" max="3" width="55.75"/>
    <col customWidth="1" min="4" max="4" width="55.63"/>
    <col customWidth="1" min="5" max="6" width="12.63"/>
  </cols>
  <sheetData>
    <row r="1" ht="15.75" customHeight="1">
      <c r="B1" s="8" t="s">
        <v>48</v>
      </c>
      <c r="C1" s="9" t="s">
        <v>49</v>
      </c>
      <c r="E1" s="9"/>
    </row>
    <row r="2" ht="15.75" customHeight="1">
      <c r="C2" s="9" t="s">
        <v>50</v>
      </c>
      <c r="D2" s="9" t="s">
        <v>51</v>
      </c>
    </row>
    <row r="3" ht="44.25" customHeight="1">
      <c r="B3" s="10" t="s">
        <v>52</v>
      </c>
      <c r="C3" s="10" t="s">
        <v>53</v>
      </c>
      <c r="D3" s="10" t="s">
        <v>54</v>
      </c>
    </row>
    <row r="4" ht="39.75" customHeight="1">
      <c r="B4" s="10" t="s">
        <v>55</v>
      </c>
      <c r="C4" s="10" t="s">
        <v>56</v>
      </c>
      <c r="D4" s="10" t="s">
        <v>57</v>
      </c>
    </row>
    <row r="5" ht="39.75" customHeight="1">
      <c r="B5" s="10" t="s">
        <v>58</v>
      </c>
      <c r="C5" s="10" t="s">
        <v>59</v>
      </c>
      <c r="D5" s="10" t="s">
        <v>60</v>
      </c>
    </row>
    <row r="6" ht="39.75" customHeight="1">
      <c r="B6" s="10" t="s">
        <v>61</v>
      </c>
      <c r="C6" s="10" t="s">
        <v>62</v>
      </c>
      <c r="D6" s="10" t="s">
        <v>63</v>
      </c>
    </row>
    <row r="7" ht="39.75" customHeight="1">
      <c r="B7" s="10" t="s">
        <v>64</v>
      </c>
      <c r="C7" s="10" t="s">
        <v>65</v>
      </c>
      <c r="D7" s="10" t="s">
        <v>66</v>
      </c>
    </row>
    <row r="8" ht="15.75" customHeight="1">
      <c r="B8" s="10" t="s">
        <v>67</v>
      </c>
      <c r="C8" s="10" t="s">
        <v>68</v>
      </c>
      <c r="D8" s="10" t="s">
        <v>69</v>
      </c>
    </row>
    <row r="9" ht="15.75" customHeight="1">
      <c r="B9" s="10" t="s">
        <v>70</v>
      </c>
      <c r="C9" s="10" t="s">
        <v>71</v>
      </c>
      <c r="D9" s="10" t="s">
        <v>72</v>
      </c>
    </row>
    <row r="10" ht="15.75" customHeight="1">
      <c r="B10" s="10" t="s">
        <v>73</v>
      </c>
      <c r="C10" s="10" t="s">
        <v>74</v>
      </c>
      <c r="D10" s="10" t="s">
        <v>75</v>
      </c>
    </row>
    <row r="11" ht="15.75" customHeight="1"/>
    <row r="12" ht="15.75" customHeight="1">
      <c r="B12" s="11" t="s">
        <v>76</v>
      </c>
      <c r="C12" s="11" t="s">
        <v>77</v>
      </c>
    </row>
    <row r="13" ht="15.75" customHeight="1"/>
    <row r="14" ht="15.75" customHeight="1"/>
    <row r="15" ht="58.5" customHeight="1"/>
    <row r="16" ht="15.75" customHeight="1"/>
    <row r="17" ht="15.75" customHeight="1"/>
    <row r="18" ht="15.75" customHeight="1"/>
    <row r="19" ht="15.75" customHeight="1"/>
    <row r="20" ht="15.75" customHeight="1">
      <c r="B20" s="12"/>
      <c r="C20" s="12"/>
      <c r="D20" s="12"/>
    </row>
    <row r="21" ht="15.75" customHeight="1">
      <c r="B21" s="12"/>
      <c r="C21" s="12"/>
      <c r="D21" s="12"/>
    </row>
    <row r="22" ht="15.75" customHeight="1">
      <c r="B22" s="12"/>
      <c r="C22" s="12"/>
      <c r="D22" s="12"/>
    </row>
    <row r="23" ht="15.75" customHeight="1">
      <c r="B23" s="12"/>
      <c r="C23" s="12"/>
      <c r="D23" s="12"/>
    </row>
    <row r="24" ht="15.75" customHeight="1">
      <c r="B24" s="12"/>
      <c r="C24" s="12"/>
      <c r="D24" s="12"/>
    </row>
    <row r="25" ht="15.75" customHeight="1">
      <c r="B25" s="12"/>
      <c r="C25" s="12"/>
      <c r="D25" s="12"/>
    </row>
    <row r="26" ht="15.75" customHeight="1">
      <c r="B26" s="12"/>
      <c r="C26" s="12"/>
      <c r="D26" s="12"/>
    </row>
    <row r="27" ht="15.75" customHeight="1">
      <c r="B27" s="12"/>
      <c r="C27" s="12"/>
      <c r="D27" s="12"/>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B2"/>
    <mergeCell ref="C1:D1"/>
    <mergeCell ref="B12:B15"/>
    <mergeCell ref="C12:D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5.13"/>
    <col customWidth="1" min="3" max="3" width="35.38"/>
    <col customWidth="1" min="4" max="4" width="22.38"/>
    <col customWidth="1" min="5" max="5" width="32.38"/>
    <col customWidth="1" min="6" max="6" width="12.63"/>
    <col customWidth="1" min="7" max="7" width="13.63"/>
    <col customWidth="1" min="8" max="8" width="13.75"/>
  </cols>
  <sheetData>
    <row r="1" ht="15.75" customHeight="1"/>
    <row r="2" ht="15.75" customHeight="1">
      <c r="B2" s="13" t="s">
        <v>78</v>
      </c>
      <c r="C2" s="13" t="s">
        <v>79</v>
      </c>
      <c r="D2" s="13" t="s">
        <v>80</v>
      </c>
      <c r="E2" s="13" t="s">
        <v>81</v>
      </c>
      <c r="F2" s="13" t="s">
        <v>82</v>
      </c>
      <c r="G2" s="12"/>
      <c r="H2" s="13"/>
      <c r="I2" s="13"/>
    </row>
    <row r="3" ht="39.75" customHeight="1">
      <c r="B3" s="14" t="s">
        <v>83</v>
      </c>
      <c r="C3" s="10" t="s">
        <v>84</v>
      </c>
      <c r="D3" s="15" t="s">
        <v>85</v>
      </c>
      <c r="E3" s="10" t="s">
        <v>86</v>
      </c>
      <c r="F3" s="10" t="s">
        <v>87</v>
      </c>
      <c r="H3" s="10"/>
      <c r="I3" s="16"/>
    </row>
    <row r="4" ht="41.25" customHeight="1">
      <c r="E4" s="10" t="s">
        <v>88</v>
      </c>
    </row>
    <row r="5" ht="15.75" customHeight="1">
      <c r="B5" s="14" t="s">
        <v>89</v>
      </c>
      <c r="C5" s="10" t="s">
        <v>90</v>
      </c>
      <c r="D5" s="15" t="s">
        <v>91</v>
      </c>
      <c r="E5" s="12" t="s">
        <v>92</v>
      </c>
    </row>
    <row r="6" ht="15.75" customHeight="1">
      <c r="B6" s="14" t="s">
        <v>93</v>
      </c>
      <c r="C6" s="10" t="s">
        <v>94</v>
      </c>
      <c r="D6" s="15" t="s">
        <v>91</v>
      </c>
      <c r="E6" s="12" t="s">
        <v>95</v>
      </c>
    </row>
    <row r="7" ht="15.75" customHeight="1">
      <c r="B7" s="14" t="s">
        <v>96</v>
      </c>
      <c r="C7" s="10" t="s">
        <v>97</v>
      </c>
      <c r="D7" s="15" t="s">
        <v>98</v>
      </c>
      <c r="E7" s="12" t="s">
        <v>95</v>
      </c>
    </row>
    <row r="8" ht="15.75" customHeight="1">
      <c r="B8" s="14" t="s">
        <v>99</v>
      </c>
      <c r="C8" s="10" t="s">
        <v>100</v>
      </c>
      <c r="D8" s="15" t="s">
        <v>98</v>
      </c>
      <c r="E8" s="12" t="s">
        <v>101</v>
      </c>
    </row>
    <row r="9" ht="15.75" customHeight="1">
      <c r="B9" s="14" t="s">
        <v>102</v>
      </c>
      <c r="C9" s="10" t="s">
        <v>103</v>
      </c>
      <c r="D9" s="15" t="s">
        <v>85</v>
      </c>
      <c r="E9" s="10" t="s">
        <v>104</v>
      </c>
      <c r="F9" s="10" t="s">
        <v>105</v>
      </c>
      <c r="G9" s="12"/>
    </row>
    <row r="10" ht="125.25" customHeight="1">
      <c r="B10" s="14" t="s">
        <v>106</v>
      </c>
      <c r="C10" s="12" t="s">
        <v>107</v>
      </c>
      <c r="D10" s="15" t="s">
        <v>85</v>
      </c>
      <c r="E10" s="10" t="s">
        <v>108</v>
      </c>
      <c r="F10" s="10" t="s">
        <v>109</v>
      </c>
      <c r="G10" s="12"/>
    </row>
    <row r="11" ht="15.75" customHeight="1">
      <c r="B11" s="14" t="s">
        <v>110</v>
      </c>
      <c r="C11" s="10" t="s">
        <v>111</v>
      </c>
      <c r="D11" s="15" t="s">
        <v>85</v>
      </c>
      <c r="E11" s="10" t="s">
        <v>112</v>
      </c>
      <c r="F11" s="10" t="s">
        <v>113</v>
      </c>
      <c r="G11" s="12"/>
    </row>
    <row r="12" ht="15.75" customHeight="1">
      <c r="B12" s="14" t="s">
        <v>114</v>
      </c>
      <c r="C12" s="10" t="s">
        <v>115</v>
      </c>
      <c r="D12" s="15" t="s">
        <v>98</v>
      </c>
      <c r="E12" s="12" t="s">
        <v>95</v>
      </c>
    </row>
    <row r="13" ht="15.75" customHeight="1">
      <c r="B13" s="14" t="s">
        <v>116</v>
      </c>
      <c r="C13" s="10" t="s">
        <v>117</v>
      </c>
      <c r="D13" s="15" t="s">
        <v>91</v>
      </c>
      <c r="E13" s="12" t="s">
        <v>92</v>
      </c>
    </row>
    <row r="14" ht="15.75" customHeight="1">
      <c r="B14" s="14"/>
    </row>
    <row r="15" ht="15.75" customHeight="1">
      <c r="B15" s="14"/>
    </row>
    <row r="16" ht="15.75" customHeight="1">
      <c r="B16" s="14"/>
    </row>
    <row r="17" ht="15.75" customHeight="1">
      <c r="B17" s="14"/>
    </row>
    <row r="18" ht="15.75" customHeight="1">
      <c r="B18" s="14"/>
    </row>
    <row r="19" ht="15.75" customHeight="1">
      <c r="B19" s="14"/>
    </row>
    <row r="20" ht="15.75" customHeight="1">
      <c r="B20" s="14"/>
    </row>
    <row r="21" ht="15.75" customHeight="1">
      <c r="B21" s="14"/>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B4"/>
    <mergeCell ref="C3:C4"/>
    <mergeCell ref="D3:D4"/>
    <mergeCell ref="F3:F4"/>
    <mergeCell ref="H3:H4"/>
    <mergeCell ref="I3:I4"/>
  </mergeCells>
  <dataValidations>
    <dataValidation type="list" allowBlank="1" sqref="D3 D5:D13">
      <formula1>"En curso,Revisión Sistematica,Excluido,Aprobado"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30.88"/>
    <col customWidth="1" min="3" max="3" width="13.88"/>
    <col customWidth="1" min="4" max="4" width="37.63"/>
    <col customWidth="1" min="5" max="5" width="35.5"/>
    <col customWidth="1" min="6" max="6" width="36.5"/>
    <col customWidth="1" min="7" max="7" width="14.63"/>
    <col customWidth="1" min="8" max="8" width="24.88"/>
    <col customWidth="1" min="9" max="9" width="30.75"/>
    <col customWidth="1" min="10" max="10" width="41.13"/>
    <col customWidth="1" min="11" max="11" width="36.88"/>
  </cols>
  <sheetData>
    <row r="1" ht="15.75" customHeight="1">
      <c r="A1" s="13" t="s">
        <v>78</v>
      </c>
      <c r="B1" s="13" t="s">
        <v>118</v>
      </c>
      <c r="C1" s="13" t="s">
        <v>1</v>
      </c>
      <c r="D1" s="13" t="s">
        <v>119</v>
      </c>
      <c r="E1" s="13" t="s">
        <v>120</v>
      </c>
      <c r="F1" s="13" t="s">
        <v>121</v>
      </c>
      <c r="G1" s="13" t="s">
        <v>122</v>
      </c>
      <c r="H1" s="13" t="s">
        <v>123</v>
      </c>
      <c r="I1" s="13" t="s">
        <v>124</v>
      </c>
      <c r="J1" s="13" t="s">
        <v>125</v>
      </c>
      <c r="K1" s="13" t="s">
        <v>126</v>
      </c>
      <c r="L1" s="13" t="s">
        <v>127</v>
      </c>
    </row>
    <row r="2" ht="15.75" customHeight="1">
      <c r="A2" s="17">
        <v>1.0</v>
      </c>
      <c r="B2" s="12" t="s">
        <v>128</v>
      </c>
      <c r="C2" s="12">
        <v>2000.0</v>
      </c>
      <c r="D2" s="12">
        <v>115.0</v>
      </c>
      <c r="E2" s="12" t="s">
        <v>129</v>
      </c>
      <c r="F2" s="12" t="s">
        <v>130</v>
      </c>
      <c r="G2" s="12" t="s">
        <v>131</v>
      </c>
      <c r="H2" s="10" t="s">
        <v>132</v>
      </c>
      <c r="I2" s="12" t="s">
        <v>133</v>
      </c>
      <c r="J2" s="12" t="s">
        <v>134</v>
      </c>
      <c r="K2" s="12" t="s">
        <v>135</v>
      </c>
      <c r="L2" s="18" t="s">
        <v>136</v>
      </c>
    </row>
    <row r="3" ht="15.75" customHeight="1">
      <c r="A3" s="19">
        <v>2.0</v>
      </c>
      <c r="B3" s="20" t="s">
        <v>137</v>
      </c>
      <c r="C3" s="12" t="s">
        <v>16</v>
      </c>
      <c r="D3" s="12">
        <v>40.0</v>
      </c>
      <c r="E3" s="12"/>
      <c r="F3" s="12" t="s">
        <v>138</v>
      </c>
      <c r="G3" s="12" t="s">
        <v>139</v>
      </c>
      <c r="I3" s="12" t="s">
        <v>140</v>
      </c>
      <c r="J3" s="12"/>
      <c r="K3" s="12"/>
      <c r="L3" s="18" t="s">
        <v>141</v>
      </c>
    </row>
    <row r="4" ht="15.75" customHeight="1">
      <c r="A4" s="17">
        <v>3.0</v>
      </c>
      <c r="B4" s="21" t="s">
        <v>142</v>
      </c>
      <c r="C4" s="12" t="s">
        <v>143</v>
      </c>
      <c r="D4" s="12">
        <v>212.0</v>
      </c>
      <c r="E4" s="12" t="s">
        <v>144</v>
      </c>
      <c r="F4" s="12" t="s">
        <v>145</v>
      </c>
      <c r="G4" s="12" t="s">
        <v>139</v>
      </c>
      <c r="I4" s="12" t="s">
        <v>146</v>
      </c>
      <c r="J4" s="12" t="s">
        <v>147</v>
      </c>
      <c r="K4" s="12" t="s">
        <v>148</v>
      </c>
      <c r="L4" s="18" t="s">
        <v>149</v>
      </c>
    </row>
    <row r="5" ht="15.75" customHeight="1">
      <c r="A5" s="17">
        <v>4.0</v>
      </c>
      <c r="B5" s="22" t="s">
        <v>150</v>
      </c>
      <c r="C5" s="12" t="s">
        <v>151</v>
      </c>
      <c r="D5" s="12">
        <v>572.0</v>
      </c>
      <c r="E5" s="12" t="s">
        <v>152</v>
      </c>
      <c r="F5" s="12" t="s">
        <v>153</v>
      </c>
      <c r="G5" s="12" t="s">
        <v>154</v>
      </c>
      <c r="I5" s="12" t="s">
        <v>155</v>
      </c>
      <c r="J5" s="12" t="s">
        <v>156</v>
      </c>
      <c r="K5" s="12"/>
      <c r="L5" s="18" t="s">
        <v>157</v>
      </c>
    </row>
    <row r="6" ht="15.75" customHeight="1">
      <c r="A6" s="12">
        <v>5.0</v>
      </c>
      <c r="B6" s="10" t="s">
        <v>158</v>
      </c>
      <c r="C6" s="12" t="s">
        <v>159</v>
      </c>
      <c r="D6" s="12">
        <v>85.0</v>
      </c>
      <c r="E6" s="12"/>
      <c r="F6" s="12" t="s">
        <v>160</v>
      </c>
      <c r="G6" s="12"/>
      <c r="I6" s="12" t="s">
        <v>133</v>
      </c>
      <c r="J6" s="12"/>
      <c r="K6" s="12" t="s">
        <v>161</v>
      </c>
      <c r="L6" s="18" t="s">
        <v>162</v>
      </c>
    </row>
    <row r="7" ht="15.75" customHeight="1">
      <c r="A7" s="12">
        <v>6.0</v>
      </c>
      <c r="B7" s="10" t="s">
        <v>163</v>
      </c>
      <c r="C7" s="12" t="s">
        <v>164</v>
      </c>
      <c r="D7" s="12">
        <v>763.0</v>
      </c>
      <c r="E7" s="12"/>
      <c r="F7" s="12" t="s">
        <v>165</v>
      </c>
      <c r="G7" s="12" t="s">
        <v>131</v>
      </c>
      <c r="I7" s="12" t="s">
        <v>133</v>
      </c>
      <c r="J7" s="12"/>
      <c r="K7" s="12"/>
      <c r="L7" s="18" t="s">
        <v>162</v>
      </c>
    </row>
    <row r="8" ht="15.75" customHeight="1">
      <c r="A8" s="23">
        <v>7.0</v>
      </c>
      <c r="B8" s="24" t="s">
        <v>166</v>
      </c>
      <c r="C8" s="12" t="s">
        <v>167</v>
      </c>
      <c r="D8" s="12">
        <v>159.0</v>
      </c>
      <c r="E8" s="12"/>
      <c r="F8" s="12" t="s">
        <v>168</v>
      </c>
      <c r="G8" s="12" t="s">
        <v>139</v>
      </c>
      <c r="I8" s="12" t="s">
        <v>169</v>
      </c>
      <c r="J8" s="12" t="s">
        <v>170</v>
      </c>
      <c r="K8" s="12" t="s">
        <v>171</v>
      </c>
      <c r="L8" s="18" t="s">
        <v>172</v>
      </c>
    </row>
    <row r="9" ht="15.75" customHeight="1">
      <c r="A9" s="17">
        <v>8.0</v>
      </c>
      <c r="B9" s="25" t="s">
        <v>173</v>
      </c>
      <c r="C9" s="12" t="s">
        <v>29</v>
      </c>
      <c r="D9" s="12">
        <v>43.0</v>
      </c>
      <c r="E9" s="12" t="s">
        <v>174</v>
      </c>
      <c r="F9" s="12" t="s">
        <v>175</v>
      </c>
      <c r="G9" s="12" t="s">
        <v>139</v>
      </c>
      <c r="I9" s="12" t="s">
        <v>176</v>
      </c>
      <c r="J9" s="12" t="s">
        <v>177</v>
      </c>
      <c r="K9" s="12" t="s">
        <v>178</v>
      </c>
      <c r="L9" s="18" t="s">
        <v>179</v>
      </c>
      <c r="R9" s="18" t="s">
        <v>180</v>
      </c>
    </row>
    <row r="10" ht="15.75" customHeight="1">
      <c r="A10" s="17">
        <v>9.0</v>
      </c>
      <c r="B10" s="24" t="s">
        <v>181</v>
      </c>
      <c r="C10" s="12" t="s">
        <v>29</v>
      </c>
      <c r="D10" s="12">
        <v>125.0</v>
      </c>
      <c r="E10" s="12" t="s">
        <v>182</v>
      </c>
      <c r="F10" s="12" t="s">
        <v>183</v>
      </c>
      <c r="G10" s="12" t="s">
        <v>184</v>
      </c>
      <c r="I10" s="12" t="s">
        <v>133</v>
      </c>
      <c r="J10" s="12" t="s">
        <v>185</v>
      </c>
      <c r="K10" s="12" t="s">
        <v>186</v>
      </c>
      <c r="L10" s="18" t="s">
        <v>187</v>
      </c>
    </row>
    <row r="11" ht="15.75" customHeight="1">
      <c r="A11" s="12">
        <v>10.0</v>
      </c>
      <c r="B11" s="24" t="s">
        <v>188</v>
      </c>
      <c r="C11" s="12" t="s">
        <v>189</v>
      </c>
      <c r="D11" s="12">
        <v>1000.0</v>
      </c>
      <c r="E11" s="12"/>
      <c r="F11" s="12" t="s">
        <v>190</v>
      </c>
      <c r="G11" s="12" t="s">
        <v>139</v>
      </c>
      <c r="I11" s="12"/>
      <c r="J11" s="12"/>
      <c r="K11" s="12"/>
      <c r="L11" s="18" t="s">
        <v>191</v>
      </c>
    </row>
    <row r="12" ht="46.5" customHeight="1">
      <c r="A12" s="12">
        <v>11.0</v>
      </c>
      <c r="B12" s="26" t="s">
        <v>84</v>
      </c>
      <c r="C12" s="12" t="s">
        <v>192</v>
      </c>
      <c r="D12" s="12">
        <v>407.0</v>
      </c>
      <c r="E12" s="12" t="s">
        <v>193</v>
      </c>
      <c r="F12" s="26" t="s">
        <v>86</v>
      </c>
      <c r="G12" s="12" t="s">
        <v>194</v>
      </c>
      <c r="H12" s="26" t="s">
        <v>195</v>
      </c>
      <c r="I12" s="12" t="s">
        <v>133</v>
      </c>
      <c r="J12" s="12"/>
      <c r="K12" s="12"/>
    </row>
    <row r="13" ht="51.0" customHeight="1">
      <c r="D13" s="12">
        <v>256.0</v>
      </c>
      <c r="F13" s="26" t="s">
        <v>88</v>
      </c>
      <c r="G13" s="12" t="s">
        <v>194</v>
      </c>
      <c r="K13" s="12"/>
    </row>
    <row r="14" ht="15.75" customHeight="1">
      <c r="A14" s="17">
        <v>12.0</v>
      </c>
      <c r="B14" s="10" t="s">
        <v>103</v>
      </c>
      <c r="C14" s="26" t="s">
        <v>105</v>
      </c>
      <c r="D14" s="12">
        <v>29.0</v>
      </c>
      <c r="E14" s="26" t="s">
        <v>196</v>
      </c>
      <c r="F14" s="26" t="s">
        <v>197</v>
      </c>
      <c r="G14" s="12" t="s">
        <v>194</v>
      </c>
      <c r="H14" s="10" t="s">
        <v>198</v>
      </c>
      <c r="I14" s="12" t="s">
        <v>199</v>
      </c>
      <c r="J14" s="12"/>
      <c r="K14" s="12"/>
    </row>
    <row r="15" ht="15.75" hidden="1" customHeight="1">
      <c r="A15" s="27">
        <v>13.0</v>
      </c>
      <c r="B15" s="10" t="s">
        <v>200</v>
      </c>
      <c r="C15" s="26" t="s">
        <v>109</v>
      </c>
      <c r="D15" s="12">
        <v>159.0</v>
      </c>
      <c r="E15" s="10" t="s">
        <v>201</v>
      </c>
      <c r="F15" s="26" t="s">
        <v>202</v>
      </c>
      <c r="G15" s="12" t="s">
        <v>194</v>
      </c>
      <c r="H15" s="12" t="s">
        <v>203</v>
      </c>
      <c r="I15" s="12" t="s">
        <v>204</v>
      </c>
      <c r="J15" s="12"/>
      <c r="K15" s="10" t="s">
        <v>205</v>
      </c>
    </row>
    <row r="16" ht="15.75" hidden="1" customHeight="1">
      <c r="A16" s="27">
        <v>14.0</v>
      </c>
      <c r="B16" s="10" t="s">
        <v>111</v>
      </c>
      <c r="C16" s="26" t="s">
        <v>113</v>
      </c>
      <c r="D16" s="12"/>
      <c r="E16" s="10" t="s">
        <v>206</v>
      </c>
      <c r="F16" s="26" t="s">
        <v>207</v>
      </c>
      <c r="G16" s="12" t="s">
        <v>194</v>
      </c>
      <c r="H16" s="12" t="s">
        <v>208</v>
      </c>
      <c r="I16" s="12" t="s">
        <v>209</v>
      </c>
      <c r="J16" s="12"/>
      <c r="K16" s="12"/>
    </row>
    <row r="17" ht="15.75" customHeight="1">
      <c r="A17" s="17">
        <v>13.0</v>
      </c>
      <c r="B17" s="10" t="s">
        <v>210</v>
      </c>
      <c r="C17" s="12" t="s">
        <v>211</v>
      </c>
      <c r="D17" s="12">
        <v>128.0</v>
      </c>
      <c r="E17" s="12" t="s">
        <v>212</v>
      </c>
      <c r="F17" s="12" t="s">
        <v>213</v>
      </c>
    </row>
    <row r="18" ht="15.75" customHeight="1">
      <c r="A18" s="17">
        <v>14.0</v>
      </c>
      <c r="B18" s="10" t="s">
        <v>214</v>
      </c>
      <c r="C18" s="12" t="s">
        <v>215</v>
      </c>
      <c r="D18" s="12">
        <v>146.0</v>
      </c>
      <c r="E18" s="12" t="s">
        <v>216</v>
      </c>
      <c r="F18" s="12" t="s">
        <v>217</v>
      </c>
    </row>
    <row r="19" ht="15.75" customHeight="1">
      <c r="A19" s="17">
        <v>15.0</v>
      </c>
      <c r="B19" s="10" t="s">
        <v>218</v>
      </c>
      <c r="L19" s="18" t="s">
        <v>219</v>
      </c>
    </row>
    <row r="20" ht="15.75" customHeight="1">
      <c r="B20" s="28"/>
    </row>
    <row r="21" ht="15.75" customHeight="1">
      <c r="B21" s="2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2:A13"/>
    <mergeCell ref="B12:B13"/>
    <mergeCell ref="C12:C13"/>
    <mergeCell ref="E12:E13"/>
    <mergeCell ref="H12:H13"/>
    <mergeCell ref="I12:I13"/>
    <mergeCell ref="J12:J13"/>
  </mergeCells>
  <hyperlinks>
    <hyperlink r:id="rId1" ref="L2"/>
    <hyperlink r:id="rId2" ref="L3"/>
    <hyperlink r:id="rId3" ref="L4"/>
    <hyperlink r:id="rId4" ref="L5"/>
    <hyperlink r:id="rId5" ref="L6"/>
    <hyperlink r:id="rId6" ref="L7"/>
    <hyperlink r:id="rId7" ref="L8"/>
    <hyperlink r:id="rId8" ref="L9"/>
    <hyperlink r:id="rId9" ref="R9"/>
    <hyperlink r:id="rId10" ref="L10"/>
    <hyperlink r:id="rId11" ref="L11"/>
    <hyperlink r:id="rId12" ref="L19"/>
  </hyperlinks>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63"/>
    <col customWidth="1" min="2" max="2" width="12.63"/>
    <col customWidth="1" min="3" max="3" width="35.5"/>
    <col customWidth="1" min="4" max="4" width="12.63"/>
    <col customWidth="1" min="5" max="5" width="24.13"/>
    <col customWidth="1" min="6" max="6" width="18.38"/>
  </cols>
  <sheetData>
    <row r="1" ht="15.75" customHeight="1">
      <c r="A1" s="29" t="s">
        <v>78</v>
      </c>
      <c r="B1" s="29" t="s">
        <v>1</v>
      </c>
      <c r="C1" s="29" t="s">
        <v>120</v>
      </c>
      <c r="D1" s="29" t="s">
        <v>220</v>
      </c>
      <c r="E1" s="13" t="s">
        <v>124</v>
      </c>
      <c r="F1" s="13"/>
    </row>
    <row r="2" ht="15.75" customHeight="1">
      <c r="A2" s="12">
        <v>13.0</v>
      </c>
      <c r="B2" s="12">
        <v>1994.0</v>
      </c>
      <c r="C2" s="30">
        <v>0.016</v>
      </c>
      <c r="D2" s="12">
        <v>61.0</v>
      </c>
      <c r="E2" s="10" t="s">
        <v>221</v>
      </c>
    </row>
    <row r="3" ht="15.75" customHeight="1">
      <c r="A3" s="12">
        <v>1.0</v>
      </c>
      <c r="B3" s="12">
        <v>2000.0</v>
      </c>
      <c r="C3" s="30">
        <v>0.25</v>
      </c>
      <c r="D3" s="12">
        <v>115.0</v>
      </c>
      <c r="E3" s="12" t="s">
        <v>133</v>
      </c>
    </row>
    <row r="4" ht="15.75" customHeight="1">
      <c r="A4" s="12">
        <v>14.0</v>
      </c>
      <c r="B4" s="12">
        <v>2001.0</v>
      </c>
      <c r="C4" s="30">
        <v>0.274</v>
      </c>
      <c r="D4" s="12">
        <v>167.0</v>
      </c>
      <c r="E4" s="12" t="s">
        <v>133</v>
      </c>
    </row>
    <row r="5" ht="15.75" customHeight="1">
      <c r="A5" s="12">
        <v>3.0</v>
      </c>
      <c r="B5" s="12">
        <v>2006.0</v>
      </c>
      <c r="C5" s="30">
        <v>0.34</v>
      </c>
      <c r="D5" s="12">
        <v>212.0</v>
      </c>
      <c r="E5" s="10" t="s">
        <v>221</v>
      </c>
    </row>
    <row r="6" ht="15.75" customHeight="1">
      <c r="A6" s="12">
        <v>4.0</v>
      </c>
      <c r="B6" s="12">
        <v>2007.0</v>
      </c>
      <c r="C6" s="30">
        <v>0.295</v>
      </c>
      <c r="D6" s="12">
        <v>572.0</v>
      </c>
      <c r="E6" s="12" t="s">
        <v>155</v>
      </c>
    </row>
    <row r="7" ht="15.75" customHeight="1">
      <c r="A7" s="12">
        <v>8.0</v>
      </c>
      <c r="B7" s="12">
        <v>2009.0</v>
      </c>
      <c r="C7" s="30">
        <v>0.238</v>
      </c>
      <c r="D7" s="12">
        <v>43.0</v>
      </c>
      <c r="E7" s="10" t="s">
        <v>221</v>
      </c>
    </row>
    <row r="8" ht="15.75" customHeight="1">
      <c r="A8" s="12">
        <v>9.0</v>
      </c>
      <c r="B8" s="12">
        <v>2011.0</v>
      </c>
      <c r="C8" s="30">
        <v>0.22</v>
      </c>
      <c r="D8" s="12">
        <v>125.0</v>
      </c>
      <c r="E8" s="12" t="s">
        <v>133</v>
      </c>
    </row>
    <row r="9" ht="15.75" customHeight="1">
      <c r="A9" s="12">
        <v>12.0</v>
      </c>
      <c r="B9" s="12">
        <v>2017.0</v>
      </c>
      <c r="C9" s="30">
        <v>0.103</v>
      </c>
      <c r="D9" s="12">
        <v>29.0</v>
      </c>
      <c r="E9" s="10" t="s">
        <v>221</v>
      </c>
    </row>
    <row r="10" ht="15.75" customHeight="1">
      <c r="A10" s="12">
        <v>15.0</v>
      </c>
      <c r="B10" s="12">
        <v>2022.0</v>
      </c>
      <c r="C10" s="30">
        <v>0.182</v>
      </c>
      <c r="D10" s="12">
        <v>66.0</v>
      </c>
      <c r="E10" s="12" t="s">
        <v>133</v>
      </c>
    </row>
    <row r="11" ht="15.75" customHeight="1"/>
    <row r="12" ht="15.75" customHeight="1">
      <c r="B12" s="26"/>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40.0"/>
    <col customWidth="1" min="5" max="6" width="12.63"/>
    <col customWidth="1" min="7" max="7" width="24.25"/>
  </cols>
  <sheetData>
    <row r="1" ht="15.75" customHeight="1">
      <c r="A1" s="11" t="s">
        <v>0</v>
      </c>
      <c r="B1" s="31" t="s">
        <v>1</v>
      </c>
      <c r="C1" s="11" t="s">
        <v>2</v>
      </c>
      <c r="D1" s="31" t="s">
        <v>121</v>
      </c>
      <c r="E1" s="11" t="s">
        <v>222</v>
      </c>
      <c r="F1" s="11" t="s">
        <v>223</v>
      </c>
      <c r="G1" s="11" t="s">
        <v>4</v>
      </c>
      <c r="H1" s="11" t="s">
        <v>5</v>
      </c>
      <c r="I1" s="11" t="s">
        <v>6</v>
      </c>
      <c r="J1" s="11"/>
      <c r="K1" s="11"/>
      <c r="L1" s="11"/>
      <c r="M1" s="11"/>
      <c r="N1" s="11"/>
      <c r="P1" s="11"/>
      <c r="Q1" s="11"/>
      <c r="R1" s="11"/>
      <c r="S1" s="11"/>
      <c r="T1" s="11"/>
      <c r="U1" s="11"/>
      <c r="V1" s="11"/>
      <c r="W1" s="11"/>
      <c r="X1" s="11"/>
      <c r="Y1" s="11"/>
      <c r="Z1" s="11"/>
    </row>
    <row r="2" ht="15.75" customHeight="1">
      <c r="A2" s="32">
        <v>1.0</v>
      </c>
      <c r="B2" s="32">
        <v>2000.0</v>
      </c>
      <c r="C2" s="12">
        <v>115.0</v>
      </c>
      <c r="D2" s="33" t="s">
        <v>130</v>
      </c>
      <c r="E2" s="34">
        <v>0.36</v>
      </c>
      <c r="F2" s="34">
        <v>0.46</v>
      </c>
      <c r="G2" s="32" t="s">
        <v>9</v>
      </c>
      <c r="H2" s="32" t="s">
        <v>9</v>
      </c>
      <c r="I2" s="32" t="s">
        <v>9</v>
      </c>
    </row>
    <row r="3" ht="15.75" customHeight="1">
      <c r="A3" s="32">
        <v>2.0</v>
      </c>
      <c r="B3" s="32" t="s">
        <v>16</v>
      </c>
      <c r="C3" s="12">
        <v>40.0</v>
      </c>
      <c r="D3" s="33" t="s">
        <v>138</v>
      </c>
      <c r="E3" s="35">
        <v>0.575</v>
      </c>
      <c r="F3" s="32" t="s">
        <v>9</v>
      </c>
      <c r="G3" s="32" t="s">
        <v>9</v>
      </c>
      <c r="H3" s="32" t="s">
        <v>9</v>
      </c>
      <c r="I3" s="35">
        <v>0.775</v>
      </c>
    </row>
    <row r="4" ht="15.75" customHeight="1">
      <c r="A4" s="32">
        <v>3.0</v>
      </c>
      <c r="B4" s="32" t="s">
        <v>143</v>
      </c>
      <c r="C4" s="36">
        <v>212.0</v>
      </c>
      <c r="D4" s="33" t="s">
        <v>145</v>
      </c>
      <c r="E4" s="32">
        <v>0.0</v>
      </c>
      <c r="F4" s="35">
        <v>0.741</v>
      </c>
      <c r="G4" s="32" t="s">
        <v>9</v>
      </c>
      <c r="H4" s="35">
        <v>0.358</v>
      </c>
      <c r="I4" s="32" t="s">
        <v>9</v>
      </c>
    </row>
    <row r="5" ht="15.75" customHeight="1">
      <c r="A5" s="32">
        <v>4.0</v>
      </c>
      <c r="B5" s="32" t="s">
        <v>151</v>
      </c>
      <c r="C5" s="36">
        <v>572.0</v>
      </c>
      <c r="D5" s="33" t="s">
        <v>153</v>
      </c>
      <c r="E5" s="35">
        <v>0.522</v>
      </c>
      <c r="F5" s="34">
        <v>0.58</v>
      </c>
      <c r="G5" s="35">
        <v>0.285</v>
      </c>
      <c r="H5" s="35">
        <v>0.263</v>
      </c>
      <c r="I5" s="32" t="s">
        <v>9</v>
      </c>
    </row>
    <row r="6" ht="15.75" customHeight="1">
      <c r="A6" s="32">
        <v>5.0</v>
      </c>
      <c r="B6" s="32" t="s">
        <v>159</v>
      </c>
      <c r="C6" s="36">
        <v>85.0</v>
      </c>
      <c r="D6" s="33" t="s">
        <v>160</v>
      </c>
      <c r="E6" s="35">
        <v>0.312</v>
      </c>
      <c r="F6" s="32" t="s">
        <v>9</v>
      </c>
      <c r="G6" s="35">
        <v>0.788</v>
      </c>
      <c r="H6" s="32" t="s">
        <v>9</v>
      </c>
      <c r="I6" s="32" t="s">
        <v>9</v>
      </c>
    </row>
    <row r="7" ht="15.75" customHeight="1">
      <c r="A7" s="37">
        <v>6.0</v>
      </c>
      <c r="B7" s="37" t="s">
        <v>164</v>
      </c>
      <c r="C7" s="36">
        <v>763.0</v>
      </c>
      <c r="D7" s="38" t="s">
        <v>165</v>
      </c>
      <c r="E7" s="37"/>
      <c r="F7" s="37"/>
      <c r="G7" s="37"/>
      <c r="H7" s="39"/>
      <c r="I7" s="37"/>
      <c r="J7" s="40"/>
      <c r="K7" s="40"/>
      <c r="L7" s="40"/>
      <c r="M7" s="40"/>
      <c r="N7" s="40"/>
      <c r="P7" s="40"/>
      <c r="Q7" s="40"/>
      <c r="R7" s="40"/>
      <c r="S7" s="40"/>
      <c r="T7" s="40"/>
      <c r="U7" s="40"/>
      <c r="V7" s="40"/>
      <c r="W7" s="40"/>
      <c r="X7" s="40"/>
      <c r="Y7" s="40"/>
      <c r="Z7" s="40"/>
    </row>
    <row r="8" ht="15.75" customHeight="1">
      <c r="A8" s="32">
        <v>7.0</v>
      </c>
      <c r="B8" s="32" t="s">
        <v>167</v>
      </c>
      <c r="C8" s="36">
        <v>159.0</v>
      </c>
      <c r="D8" s="33" t="s">
        <v>224</v>
      </c>
      <c r="E8" s="32" t="s">
        <v>225</v>
      </c>
      <c r="F8" s="32" t="s">
        <v>9</v>
      </c>
      <c r="G8" s="32" t="s">
        <v>9</v>
      </c>
      <c r="H8" s="32" t="s">
        <v>9</v>
      </c>
      <c r="I8" s="32"/>
    </row>
    <row r="9" ht="15.75" customHeight="1">
      <c r="D9" s="33" t="s">
        <v>226</v>
      </c>
      <c r="E9" s="34">
        <v>0.5</v>
      </c>
      <c r="F9" s="32" t="s">
        <v>9</v>
      </c>
      <c r="G9" s="32" t="s">
        <v>9</v>
      </c>
      <c r="H9" s="32" t="s">
        <v>9</v>
      </c>
      <c r="I9" s="32"/>
    </row>
    <row r="10" ht="15.75" customHeight="1">
      <c r="A10" s="32">
        <v>8.0</v>
      </c>
      <c r="B10" s="32" t="s">
        <v>29</v>
      </c>
      <c r="C10" s="36">
        <v>43.0</v>
      </c>
      <c r="D10" s="33" t="s">
        <v>175</v>
      </c>
      <c r="E10" s="35">
        <v>0.308</v>
      </c>
      <c r="F10" s="32" t="s">
        <v>9</v>
      </c>
      <c r="G10" s="32" t="s">
        <v>9</v>
      </c>
      <c r="H10" s="35">
        <v>0.357</v>
      </c>
      <c r="I10" s="34">
        <v>0.69</v>
      </c>
    </row>
    <row r="11" ht="15.75" customHeight="1">
      <c r="A11" s="32">
        <v>9.0</v>
      </c>
      <c r="B11" s="32" t="s">
        <v>227</v>
      </c>
      <c r="C11" s="36">
        <v>125.0</v>
      </c>
      <c r="D11" s="33" t="s">
        <v>183</v>
      </c>
      <c r="E11" s="34">
        <v>0.34</v>
      </c>
      <c r="F11" s="32" t="s">
        <v>9</v>
      </c>
      <c r="G11" s="32" t="s">
        <v>9</v>
      </c>
      <c r="H11" s="35">
        <v>0.224</v>
      </c>
      <c r="I11" s="32" t="s">
        <v>9</v>
      </c>
    </row>
    <row r="12" ht="15.75" customHeight="1">
      <c r="A12" s="32">
        <v>10.0</v>
      </c>
      <c r="B12" s="32" t="s">
        <v>189</v>
      </c>
      <c r="C12" s="41">
        <v>1000.0</v>
      </c>
      <c r="D12" s="33" t="s">
        <v>190</v>
      </c>
      <c r="E12" s="35">
        <v>0.755</v>
      </c>
      <c r="F12" s="32" t="s">
        <v>9</v>
      </c>
      <c r="G12" s="34">
        <v>0.5</v>
      </c>
      <c r="H12" s="32" t="s">
        <v>9</v>
      </c>
      <c r="I12" s="35">
        <v>0.755</v>
      </c>
    </row>
    <row r="13" ht="15.75" customHeight="1">
      <c r="A13" s="32">
        <v>11.0</v>
      </c>
      <c r="B13" s="32" t="s">
        <v>192</v>
      </c>
      <c r="C13" s="12">
        <v>407.0</v>
      </c>
      <c r="D13" s="42" t="s">
        <v>86</v>
      </c>
      <c r="E13" s="34">
        <v>0.07</v>
      </c>
      <c r="F13" s="32" t="s">
        <v>9</v>
      </c>
      <c r="G13" s="35">
        <v>0.587</v>
      </c>
      <c r="H13" s="35">
        <v>0.587</v>
      </c>
      <c r="I13" s="32" t="s">
        <v>9</v>
      </c>
    </row>
    <row r="14" ht="15.75" customHeight="1">
      <c r="C14" s="12">
        <v>256.0</v>
      </c>
      <c r="D14" s="42" t="s">
        <v>88</v>
      </c>
      <c r="E14" s="35">
        <v>0.0038</v>
      </c>
      <c r="F14" s="32" t="s">
        <v>9</v>
      </c>
      <c r="G14" s="35">
        <v>0.281</v>
      </c>
      <c r="H14" s="35">
        <v>0.281</v>
      </c>
      <c r="I14" s="32" t="s">
        <v>9</v>
      </c>
    </row>
    <row r="15" ht="15.75" customHeight="1">
      <c r="A15" s="32">
        <v>12.0</v>
      </c>
      <c r="B15" s="43" t="s">
        <v>105</v>
      </c>
      <c r="C15" s="12">
        <v>29.0</v>
      </c>
      <c r="D15" s="42" t="s">
        <v>104</v>
      </c>
      <c r="E15" s="35">
        <v>0.241</v>
      </c>
      <c r="F15" s="32" t="s">
        <v>9</v>
      </c>
      <c r="G15" s="35">
        <v>0.241</v>
      </c>
      <c r="H15" s="35">
        <v>0.241</v>
      </c>
      <c r="I15" s="35">
        <v>0.483</v>
      </c>
    </row>
    <row r="16" ht="15.75" customHeight="1">
      <c r="A16" s="32">
        <v>13.0</v>
      </c>
      <c r="B16" s="43" t="s">
        <v>211</v>
      </c>
      <c r="C16" s="12">
        <v>128.0</v>
      </c>
      <c r="D16" s="33" t="s">
        <v>213</v>
      </c>
      <c r="E16" s="35">
        <v>0.033</v>
      </c>
      <c r="F16" s="32" t="s">
        <v>9</v>
      </c>
      <c r="G16" s="32" t="s">
        <v>9</v>
      </c>
      <c r="H16" s="32" t="s">
        <v>9</v>
      </c>
      <c r="I16" s="35">
        <v>0.016</v>
      </c>
    </row>
    <row r="17" ht="15.75" customHeight="1">
      <c r="A17" s="32">
        <v>14.0</v>
      </c>
      <c r="B17" s="43" t="s">
        <v>215</v>
      </c>
      <c r="C17" s="12">
        <v>146.0</v>
      </c>
      <c r="D17" s="42" t="s">
        <v>217</v>
      </c>
      <c r="E17" s="35">
        <v>0.342</v>
      </c>
      <c r="F17" s="32" t="s">
        <v>9</v>
      </c>
      <c r="G17" s="32" t="s">
        <v>9</v>
      </c>
      <c r="H17" s="35">
        <v>0.103</v>
      </c>
      <c r="I17" s="35">
        <v>0.582</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8:A9"/>
    <mergeCell ref="B8:B9"/>
    <mergeCell ref="C8:C9"/>
    <mergeCell ref="A13:A14"/>
    <mergeCell ref="B13:B14"/>
  </mergeCells>
  <drawing r:id="rId1"/>
</worksheet>
</file>